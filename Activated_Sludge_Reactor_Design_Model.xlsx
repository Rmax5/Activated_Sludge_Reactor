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n\Downloads\"/>
    </mc:Choice>
  </mc:AlternateContent>
  <xr:revisionPtr revIDLastSave="0" documentId="8_{9ABF0A78-5D76-49A9-A079-5F5B2FF4C92E}" xr6:coauthVersionLast="47" xr6:coauthVersionMax="47" xr10:uidLastSave="{00000000-0000-0000-0000-000000000000}"/>
  <bookViews>
    <workbookView xWindow="-108" yWindow="-108" windowWidth="23256" windowHeight="13176" activeTab="3" xr2:uid="{77D5AFC6-E680-454E-9018-F86E7742EDBD}"/>
  </bookViews>
  <sheets>
    <sheet name="Input" sheetId="1" r:id="rId1"/>
    <sheet name="Calculations" sheetId="2" r:id="rId2"/>
    <sheet name="Design Summary" sheetId="3" r:id="rId3"/>
    <sheet name="Sensitivity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G10" i="2"/>
  <c r="C17" i="2" s="1"/>
  <c r="C20" i="2" s="1"/>
  <c r="B5" i="4"/>
  <c r="B6" i="4"/>
  <c r="B7" i="4"/>
  <c r="B8" i="4"/>
  <c r="B9" i="4"/>
  <c r="C13" i="2"/>
  <c r="C4" i="2"/>
  <c r="C5" i="2"/>
  <c r="C6" i="2"/>
  <c r="C7" i="2"/>
  <c r="C11" i="2"/>
  <c r="G16" i="2" l="1"/>
  <c r="G19" i="2" s="1"/>
</calcChain>
</file>

<file path=xl/sharedStrings.xml><?xml version="1.0" encoding="utf-8"?>
<sst xmlns="http://schemas.openxmlformats.org/spreadsheetml/2006/main" count="73" uniqueCount="66">
  <si>
    <t>Parameter</t>
  </si>
  <si>
    <t>Symbol</t>
  </si>
  <si>
    <t>Value</t>
  </si>
  <si>
    <t>Unit</t>
  </si>
  <si>
    <t>Wastewater flow</t>
  </si>
  <si>
    <t>Influent soluble BOD</t>
  </si>
  <si>
    <t>Desired effluent soluble BOD</t>
  </si>
  <si>
    <t>MLSS concentration</t>
  </si>
  <si>
    <t>Underflow concentration</t>
  </si>
  <si>
    <t>Yield coefficient</t>
  </si>
  <si>
    <t>Decay coefficient</t>
  </si>
  <si>
    <t>Q</t>
  </si>
  <si>
    <t>S</t>
  </si>
  <si>
    <t>X</t>
  </si>
  <si>
    <t>Xu</t>
  </si>
  <si>
    <t>Y</t>
  </si>
  <si>
    <t>kd</t>
  </si>
  <si>
    <t>θc</t>
  </si>
  <si>
    <t>Solid Retention time</t>
  </si>
  <si>
    <t>d</t>
  </si>
  <si>
    <t>d⁻¹</t>
  </si>
  <si>
    <t>kg/kg</t>
  </si>
  <si>
    <t>mg/L</t>
  </si>
  <si>
    <t>m³/d</t>
  </si>
  <si>
    <t>Unit Conversion</t>
  </si>
  <si>
    <t>S₀</t>
  </si>
  <si>
    <t>Formula</t>
  </si>
  <si>
    <t>S₀, kg/m³</t>
  </si>
  <si>
    <t>S, kg/m³</t>
  </si>
  <si>
    <t>X, kg/m³</t>
  </si>
  <si>
    <t>Xu, kg/m³</t>
  </si>
  <si>
    <t xml:space="preserve">BOD Loading </t>
  </si>
  <si>
    <t>Influent BOD Load</t>
  </si>
  <si>
    <t>L₀=Q*S₀</t>
  </si>
  <si>
    <t>BOD Removed</t>
  </si>
  <si>
    <t>Lr=Q*(S₀-S)</t>
  </si>
  <si>
    <t>Reactor Volume</t>
  </si>
  <si>
    <t>Reactor Volume(m³)</t>
  </si>
  <si>
    <t xml:space="preserve">Solids Wasting </t>
  </si>
  <si>
    <t>Mass of solids wasted per day(kg/d)</t>
  </si>
  <si>
    <t>Waste Sludge Volume(m³/d)</t>
  </si>
  <si>
    <t>Return Activated Sludge</t>
  </si>
  <si>
    <t>Mw</t>
  </si>
  <si>
    <t>Qr(m³/d)</t>
  </si>
  <si>
    <t>Qw</t>
  </si>
  <si>
    <t>V</t>
  </si>
  <si>
    <t>Recycle ratio</t>
  </si>
  <si>
    <t xml:space="preserve">R </t>
  </si>
  <si>
    <t>Design Summary</t>
  </si>
  <si>
    <t>Design Parameter</t>
  </si>
  <si>
    <t>Result</t>
  </si>
  <si>
    <t>BOD Load</t>
  </si>
  <si>
    <t>MLSS</t>
  </si>
  <si>
    <t>Waste Solids</t>
  </si>
  <si>
    <t>Waste Sludge Flow</t>
  </si>
  <si>
    <t>Return Sludge Flow</t>
  </si>
  <si>
    <t>1,500 kg/d</t>
  </si>
  <si>
    <t>1,450 kg/d</t>
  </si>
  <si>
    <t>1,611 m³</t>
  </si>
  <si>
    <t>3,000 mg/L</t>
  </si>
  <si>
    <t>483.3 kg/d</t>
  </si>
  <si>
    <t>48.3 m³/d</t>
  </si>
  <si>
    <t>4216.67 m³/d</t>
  </si>
  <si>
    <t>Effect of MLSS on Reactor Volume</t>
  </si>
  <si>
    <t>MLSS(mg/L)</t>
  </si>
  <si>
    <t>MLSS(kg/m³)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</si>
</sst>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Effect of MLSS on Reactor Volume(m³</a:t>
            </a:r>
            <a:r>
              <a:rPr lang="en-US"/>
              <a:t>) 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'Sensitivity Analysis'!$C$4</c:f>
              <c:strCache>
                <c:ptCount val="1"/>
                <c:pt idx="0">
                  <c:v>Reactor Volume(m³)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'Sensitivity Analysis'!$A$5:$A$9</c:f>
              <c:numCache>
                <c:formatCode>General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xVal>
          <c:yVal>
            <c:numRef>
              <c:f>'Sensitivity Analysis'!$C$5:$C$9</c:f>
              <c:numCache>
                <c:formatCode>General</c:formatCode>
                <c:ptCount val="5"/>
                <c:pt idx="0">
                  <c:v>3625</c:v>
                </c:pt>
                <c:pt idx="1">
                  <c:v>2900</c:v>
                </c:pt>
                <c:pt idx="2">
                  <c:v>2417</c:v>
                </c:pt>
                <c:pt idx="3">
                  <c:v>2071</c:v>
                </c:pt>
                <c:pt idx="4">
                  <c:v>1813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A-4F77-8CDA-DA0724CCA5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8537135"/>
        <c:axId val="322612431"/>
      </c:scatterChart>
      <c:valAx>
        <c:axId val="578537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MLSSmg/L)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12431"/>
        <c:crosses val="autoZero"/>
        <c:crossBetween val="midCat"/>
      </c:valAx>
      <c:valAx>
        <c:axId val="3226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Reactor Volume(m³)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1150620</xdr:colOff>
      <xdr:row>12</xdr:row>
      <xdr:rowOff>152400</xdr:rowOff>
    </xdr:from>
    <xdr:to>
      <xdr:col>7</xdr:col>
      <xdr:colOff>232143</xdr:colOff>
      <xdr:row>23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8C48F-C5CA-1811-41C7-9ED4DBB56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620" y="2346960"/>
          <a:ext cx="4979403" cy="2034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2</xdr:row>
      <xdr:rowOff>0</xdr:rowOff>
    </xdr:from>
    <xdr:to>
      <xdr:col>12</xdr:col>
      <xdr:colOff>259080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46D4C-ED28-1AC0-A6BF-BC78A5ABB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253C0-F1FA-44CE-A724-C836507A57D0}" name="Table1" displayName="Table1" ref="A1:D9" totalsRowShown="0" headerRowDxfId="1" dataDxfId="0">
  <autoFilter ref="A1:D9" xr:uid="{39B253C0-F1FA-44CE-A724-C836507A57D0}"/>
  <tableColumns count="4">
    <tableColumn id="1" xr3:uid="{530D6766-FF2B-43CC-A85F-8514A0023D03}" name="Parameter" dataDxfId="5"/>
    <tableColumn id="2" xr3:uid="{05B476A2-01A3-4801-8F89-A3EC892843D8}" name="Symbol" dataDxfId="4"/>
    <tableColumn id="3" xr3:uid="{704105E7-B5E8-4211-91A2-1BF827C8040D}" name="Value" dataDxfId="3"/>
    <tableColumn id="4" xr3:uid="{AE8C7A11-3D34-4785-B934-D7BAFB5E8AF2}" name="Uni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5BBF73-B943-40EE-A7B2-466F784BA699}" name="Table2" displayName="Table2" ref="B3:C7" totalsRowShown="0" headerRowDxfId="7" dataDxfId="6">
  <autoFilter ref="B3:C7" xr:uid="{965BBF73-B943-40EE-A7B2-466F784BA699}"/>
  <tableColumns count="2">
    <tableColumn id="1" xr3:uid="{376BA713-6DE2-477B-AC16-B845DAD942A6}" name="Parameter" dataDxfId="9"/>
    <tableColumn id="2" xr3:uid="{7DDEE646-6717-4206-8FAD-3989041ED680}" name="Formula" dataDxfId="8">
      <calculatedColumnFormula>Input!C3/1000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52BF3-9E20-4D44-876D-D594B1D0E32F}" name="Table3" displayName="Table3" ref="B3:C11" totalsRowShown="0" headerRowDxfId="11" dataDxfId="10">
  <autoFilter ref="B3:C11" xr:uid="{1DA52BF3-9E20-4D44-876D-D594B1D0E32F}"/>
  <tableColumns count="2">
    <tableColumn id="1" xr3:uid="{9DBF1B53-3C2B-459D-A47D-2C96EF7BF6D8}" name="Design Parameter" dataDxfId="13"/>
    <tableColumn id="2" xr3:uid="{99FEE28F-89C5-43C7-912E-0B66F2F79AB0}" name="Result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DB1B71-4C48-4730-B872-8DA625DC060D}" name="Table5" displayName="Table5" ref="A4:C9" totalsRowShown="0" headerRowDxfId="15" dataDxfId="14">
  <autoFilter ref="A4:C9" xr:uid="{1CDB1B71-4C48-4730-B872-8DA625DC060D}"/>
  <tableColumns count="3">
    <tableColumn id="1" xr3:uid="{0FB57F80-BE4C-457A-895C-1181DBDEED60}" name="MLSS(mg/L)" dataDxfId="18"/>
    <tableColumn id="2" xr3:uid="{27D028C0-D5C5-4742-B915-49892A54626B}" name="MLSS(kg/m³)" dataDxfId="17">
      <calculatedColumnFormula>Table5[[#This Row],[MLSS(mg/L)]]/1000</calculatedColumnFormula>
    </tableColumn>
    <tableColumn id="3" xr3:uid="{A6B1E128-D9A1-45BF-9CA6-36D0D41BE643}" name="Reactor Volume(m³)" dataDxfId="16">
      <calculatedColumnFormula>ROUND((Input!$C$2*Input!$C$7*(Calculations!$C$4-Calculations!$C$5))/(B5*(1/Input!$C$9+Input!$C$10)),0)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6690-18E8-4EEC-892E-879E55B9C1CF}">
  <dimension ref="A1:D9"/>
  <sheetViews>
    <sheetView zoomScale="134" workbookViewId="0">
      <selection activeCell="E15" sqref="E15"/>
    </sheetView>
  </sheetViews>
  <sheetFormatPr defaultRowHeight="14.4" x14ac:dyDescent="0.3"/>
  <cols>
    <col min="1" max="1" width="24.6640625" bestFit="1" customWidth="1"/>
    <col min="2" max="2" width="11.77734375" bestFit="1" customWidth="1"/>
    <col min="3" max="3" width="10.21875" bestFit="1" customWidth="1"/>
    <col min="4" max="4" width="9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2" t="s">
        <v>11</v>
      </c>
      <c r="C2" s="2">
        <v>10000</v>
      </c>
      <c r="D2" s="2" t="s">
        <v>23</v>
      </c>
    </row>
    <row r="3" spans="1:4" x14ac:dyDescent="0.3">
      <c r="A3" s="2" t="s">
        <v>5</v>
      </c>
      <c r="B3" s="2" t="s">
        <v>25</v>
      </c>
      <c r="C3" s="2">
        <v>150</v>
      </c>
      <c r="D3" s="2" t="s">
        <v>22</v>
      </c>
    </row>
    <row r="4" spans="1:4" x14ac:dyDescent="0.3">
      <c r="A4" s="2" t="s">
        <v>6</v>
      </c>
      <c r="B4" s="2" t="s">
        <v>12</v>
      </c>
      <c r="C4" s="2">
        <v>5</v>
      </c>
      <c r="D4" s="2" t="s">
        <v>22</v>
      </c>
    </row>
    <row r="5" spans="1:4" x14ac:dyDescent="0.3">
      <c r="A5" s="2" t="s">
        <v>7</v>
      </c>
      <c r="B5" s="2" t="s">
        <v>13</v>
      </c>
      <c r="C5" s="2">
        <v>3000</v>
      </c>
      <c r="D5" s="2" t="s">
        <v>22</v>
      </c>
    </row>
    <row r="6" spans="1:4" x14ac:dyDescent="0.3">
      <c r="A6" s="2" t="s">
        <v>8</v>
      </c>
      <c r="B6" s="2" t="s">
        <v>14</v>
      </c>
      <c r="C6" s="2">
        <v>10000</v>
      </c>
      <c r="D6" s="2" t="s">
        <v>22</v>
      </c>
    </row>
    <row r="7" spans="1:4" x14ac:dyDescent="0.3">
      <c r="A7" s="2" t="s">
        <v>9</v>
      </c>
      <c r="B7" s="2" t="s">
        <v>15</v>
      </c>
      <c r="C7" s="2">
        <v>0.5</v>
      </c>
      <c r="D7" s="2" t="s">
        <v>21</v>
      </c>
    </row>
    <row r="8" spans="1:4" x14ac:dyDescent="0.3">
      <c r="A8" s="2" t="s">
        <v>10</v>
      </c>
      <c r="B8" s="2" t="s">
        <v>16</v>
      </c>
      <c r="C8" s="2">
        <v>0.05</v>
      </c>
      <c r="D8" s="2" t="s">
        <v>20</v>
      </c>
    </row>
    <row r="9" spans="1:4" x14ac:dyDescent="0.3">
      <c r="A9" s="2" t="s">
        <v>18</v>
      </c>
      <c r="B9" s="2" t="s">
        <v>17</v>
      </c>
      <c r="C9" s="2">
        <v>10</v>
      </c>
      <c r="D9" s="2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4492-D67C-4EB4-A24B-F9CAA943EBFD}">
  <dimension ref="B1:G20"/>
  <sheetViews>
    <sheetView workbookViewId="0">
      <selection activeCell="E21" sqref="E21"/>
    </sheetView>
  </sheetViews>
  <sheetFormatPr defaultRowHeight="14.4" x14ac:dyDescent="0.3"/>
  <cols>
    <col min="2" max="2" width="12" customWidth="1"/>
    <col min="3" max="3" width="12.33203125" bestFit="1" customWidth="1"/>
    <col min="7" max="7" width="13.77734375" customWidth="1"/>
  </cols>
  <sheetData>
    <row r="1" spans="2:7" x14ac:dyDescent="0.3">
      <c r="B1" s="1"/>
      <c r="C1" s="1"/>
      <c r="D1" s="1"/>
      <c r="E1" s="1"/>
      <c r="F1" s="1"/>
      <c r="G1" s="1"/>
    </row>
    <row r="2" spans="2:7" x14ac:dyDescent="0.3">
      <c r="B2" s="4" t="s">
        <v>24</v>
      </c>
      <c r="C2" s="4"/>
      <c r="D2" s="1"/>
      <c r="E2" s="1"/>
      <c r="F2" s="1"/>
      <c r="G2" s="1"/>
    </row>
    <row r="3" spans="2:7" x14ac:dyDescent="0.3">
      <c r="B3" s="1" t="s">
        <v>0</v>
      </c>
      <c r="C3" s="1" t="s">
        <v>26</v>
      </c>
      <c r="D3" s="1"/>
      <c r="E3" s="1"/>
      <c r="F3" s="1"/>
      <c r="G3" s="1"/>
    </row>
    <row r="4" spans="2:7" x14ac:dyDescent="0.3">
      <c r="B4" s="1" t="s">
        <v>27</v>
      </c>
      <c r="C4" s="1">
        <f>Input!C3/1000</f>
        <v>0.15</v>
      </c>
      <c r="D4" s="1"/>
      <c r="E4" s="1"/>
      <c r="F4" s="1"/>
      <c r="G4" s="1"/>
    </row>
    <row r="5" spans="2:7" x14ac:dyDescent="0.3">
      <c r="B5" s="1" t="s">
        <v>28</v>
      </c>
      <c r="C5" s="1">
        <f>Input!C4/1000</f>
        <v>5.0000000000000001E-3</v>
      </c>
      <c r="D5" s="1"/>
      <c r="E5" s="1"/>
      <c r="F5" s="1"/>
      <c r="G5" s="1"/>
    </row>
    <row r="6" spans="2:7" x14ac:dyDescent="0.3">
      <c r="B6" s="1" t="s">
        <v>29</v>
      </c>
      <c r="C6" s="1">
        <f>Input!C5/1000</f>
        <v>3</v>
      </c>
      <c r="D6" s="1"/>
      <c r="E6" s="1"/>
      <c r="F6" s="1"/>
      <c r="G6" s="1"/>
    </row>
    <row r="7" spans="2:7" x14ac:dyDescent="0.3">
      <c r="B7" s="1" t="s">
        <v>30</v>
      </c>
      <c r="C7" s="1">
        <f>Input!C6/1000</f>
        <v>10</v>
      </c>
      <c r="D7" s="1"/>
      <c r="E7" s="1"/>
      <c r="F7" s="1"/>
      <c r="G7" s="1"/>
    </row>
    <row r="8" spans="2:7" x14ac:dyDescent="0.3">
      <c r="B8" s="1"/>
      <c r="C8" s="1"/>
      <c r="D8" s="1"/>
      <c r="E8" s="1"/>
      <c r="F8" s="1"/>
      <c r="G8" s="1"/>
    </row>
    <row r="9" spans="2:7" x14ac:dyDescent="0.3">
      <c r="B9" s="4" t="s">
        <v>31</v>
      </c>
      <c r="C9" s="4"/>
      <c r="D9" s="1"/>
      <c r="E9" s="1"/>
      <c r="F9" s="4" t="s">
        <v>37</v>
      </c>
      <c r="G9" s="4"/>
    </row>
    <row r="10" spans="2:7" x14ac:dyDescent="0.3">
      <c r="B10" s="3" t="s">
        <v>32</v>
      </c>
      <c r="C10" s="3"/>
      <c r="D10" s="1"/>
      <c r="E10" s="1"/>
      <c r="F10" s="1" t="s">
        <v>45</v>
      </c>
      <c r="G10" s="1">
        <f>ROUND((Input!C2*Input!C7*(Calculations!C4-Calculations!C5))/(Calculations!C6*(1/Input!C9+Input!C8)),0)</f>
        <v>1611</v>
      </c>
    </row>
    <row r="11" spans="2:7" x14ac:dyDescent="0.3">
      <c r="B11" s="1" t="s">
        <v>33</v>
      </c>
      <c r="C11" s="1">
        <f>Input!C2*Calculations!C4</f>
        <v>1500</v>
      </c>
      <c r="D11" s="1"/>
      <c r="E11" s="1"/>
      <c r="F11" s="1"/>
      <c r="G11" s="1"/>
    </row>
    <row r="12" spans="2:7" x14ac:dyDescent="0.3">
      <c r="B12" s="3" t="s">
        <v>34</v>
      </c>
      <c r="C12" s="3"/>
      <c r="D12" s="1"/>
      <c r="E12" s="1"/>
      <c r="F12" s="1"/>
      <c r="G12" s="1"/>
    </row>
    <row r="13" spans="2:7" x14ac:dyDescent="0.3">
      <c r="B13" s="1" t="s">
        <v>35</v>
      </c>
      <c r="C13" s="1">
        <f>Input!C2*(Calculations!C4-Calculations!C5)</f>
        <v>1450</v>
      </c>
      <c r="D13" s="1"/>
      <c r="E13" s="1"/>
      <c r="F13" s="1"/>
      <c r="G13" s="1"/>
    </row>
    <row r="14" spans="2:7" x14ac:dyDescent="0.3">
      <c r="B14" s="1"/>
      <c r="C14" s="1"/>
      <c r="D14" s="1"/>
      <c r="E14" s="1"/>
      <c r="F14" s="1"/>
      <c r="G14" s="1"/>
    </row>
    <row r="15" spans="2:7" x14ac:dyDescent="0.3">
      <c r="B15" s="4" t="s">
        <v>38</v>
      </c>
      <c r="C15" s="4"/>
      <c r="D15" s="1"/>
      <c r="E15" s="1"/>
      <c r="F15" s="4" t="s">
        <v>41</v>
      </c>
      <c r="G15" s="4"/>
    </row>
    <row r="16" spans="2:7" x14ac:dyDescent="0.3">
      <c r="B16" s="3" t="s">
        <v>39</v>
      </c>
      <c r="C16" s="3"/>
      <c r="D16" s="3"/>
      <c r="E16" s="1"/>
      <c r="F16" s="1" t="s">
        <v>43</v>
      </c>
      <c r="G16" s="1">
        <f>ROUND(((Input!C2*C6)-(C20*C7))/(C7-C6),2)</f>
        <v>4216.67</v>
      </c>
    </row>
    <row r="17" spans="2:7" x14ac:dyDescent="0.3">
      <c r="B17" s="1" t="s">
        <v>42</v>
      </c>
      <c r="C17" s="1">
        <f>(G10*C6/Input!C9)</f>
        <v>483.3</v>
      </c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 t="s">
        <v>46</v>
      </c>
      <c r="G18" s="1"/>
    </row>
    <row r="19" spans="2:7" x14ac:dyDescent="0.3">
      <c r="B19" s="3" t="s">
        <v>40</v>
      </c>
      <c r="C19" s="3"/>
      <c r="D19" s="1"/>
      <c r="E19" s="1"/>
      <c r="F19" s="1" t="s">
        <v>47</v>
      </c>
      <c r="G19" s="1">
        <f>ROUND(G16/Input!C2,2)</f>
        <v>0.42</v>
      </c>
    </row>
    <row r="20" spans="2:7" x14ac:dyDescent="0.3">
      <c r="B20" s="1" t="s">
        <v>44</v>
      </c>
      <c r="C20" s="1">
        <f>(C17/C7)</f>
        <v>48.33</v>
      </c>
      <c r="D20" s="1"/>
      <c r="E20" s="1"/>
      <c r="F20" s="1"/>
      <c r="G20" s="1"/>
    </row>
  </sheetData>
  <mergeCells count="9">
    <mergeCell ref="B16:D16"/>
    <mergeCell ref="B19:C19"/>
    <mergeCell ref="B10:C10"/>
    <mergeCell ref="B12:C12"/>
    <mergeCell ref="B2:C2"/>
    <mergeCell ref="B9:C9"/>
    <mergeCell ref="B15:C15"/>
    <mergeCell ref="F15:G15"/>
    <mergeCell ref="F9:G9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725F-19AB-4A2E-AEA6-4975BE10DB3D}">
  <dimension ref="B1:C11"/>
  <sheetViews>
    <sheetView workbookViewId="0">
      <selection activeCell="D3" sqref="D3"/>
    </sheetView>
  </sheetViews>
  <sheetFormatPr defaultRowHeight="14.4" x14ac:dyDescent="0.3"/>
  <cols>
    <col min="1" max="1" width="18.109375" bestFit="1" customWidth="1"/>
    <col min="2" max="2" width="20.33203125" bestFit="1" customWidth="1"/>
    <col min="3" max="3" width="12" bestFit="1" customWidth="1"/>
  </cols>
  <sheetData>
    <row r="1" spans="2:3" x14ac:dyDescent="0.3">
      <c r="B1" s="4" t="s">
        <v>48</v>
      </c>
      <c r="C1" s="4"/>
    </row>
    <row r="2" spans="2:3" x14ac:dyDescent="0.3">
      <c r="B2" s="1"/>
      <c r="C2" s="1"/>
    </row>
    <row r="3" spans="2:3" x14ac:dyDescent="0.3">
      <c r="B3" s="1" t="s">
        <v>49</v>
      </c>
      <c r="C3" s="1" t="s">
        <v>50</v>
      </c>
    </row>
    <row r="4" spans="2:3" x14ac:dyDescent="0.3">
      <c r="B4" s="1" t="s">
        <v>51</v>
      </c>
      <c r="C4" s="1" t="s">
        <v>56</v>
      </c>
    </row>
    <row r="5" spans="2:3" x14ac:dyDescent="0.3">
      <c r="B5" s="1" t="s">
        <v>34</v>
      </c>
      <c r="C5" s="1" t="s">
        <v>57</v>
      </c>
    </row>
    <row r="6" spans="2:3" x14ac:dyDescent="0.3">
      <c r="B6" s="1" t="s">
        <v>36</v>
      </c>
      <c r="C6" s="1" t="s">
        <v>58</v>
      </c>
    </row>
    <row r="7" spans="2:3" x14ac:dyDescent="0.3">
      <c r="B7" s="1" t="s">
        <v>52</v>
      </c>
      <c r="C7" s="1" t="s">
        <v>59</v>
      </c>
    </row>
    <row r="8" spans="2:3" x14ac:dyDescent="0.3">
      <c r="B8" s="1" t="s">
        <v>53</v>
      </c>
      <c r="C8" s="1" t="s">
        <v>60</v>
      </c>
    </row>
    <row r="9" spans="2:3" x14ac:dyDescent="0.3">
      <c r="B9" s="1" t="s">
        <v>54</v>
      </c>
      <c r="C9" s="1" t="s">
        <v>61</v>
      </c>
    </row>
    <row r="10" spans="2:3" x14ac:dyDescent="0.3">
      <c r="B10" s="1" t="s">
        <v>55</v>
      </c>
      <c r="C10" s="1" t="s">
        <v>62</v>
      </c>
    </row>
    <row r="11" spans="2:3" x14ac:dyDescent="0.3">
      <c r="B11" s="1" t="s">
        <v>46</v>
      </c>
      <c r="C11" s="1">
        <v>0.42</v>
      </c>
    </row>
  </sheetData>
  <mergeCells count="1">
    <mergeCell ref="B1:C1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5666-63B7-4766-A508-91F94FA3E5EC}">
  <dimension ref="A2:C9"/>
  <sheetViews>
    <sheetView tabSelected="1" workbookViewId="0">
      <selection activeCell="J20" sqref="J20"/>
    </sheetView>
  </sheetViews>
  <sheetFormatPr defaultRowHeight="14.4" x14ac:dyDescent="0.3"/>
  <cols>
    <col min="1" max="1" width="13.33203125" customWidth="1"/>
    <col min="2" max="2" width="20" customWidth="1"/>
    <col min="3" max="3" width="21.5546875" bestFit="1" customWidth="1"/>
  </cols>
  <sheetData>
    <row r="2" spans="1:3" x14ac:dyDescent="0.3">
      <c r="A2" s="4" t="s">
        <v>63</v>
      </c>
      <c r="B2" s="4"/>
      <c r="C2" s="4"/>
    </row>
    <row r="3" spans="1:3" x14ac:dyDescent="0.3">
      <c r="A3" s="1"/>
      <c r="B3" s="1"/>
      <c r="C3" s="1"/>
    </row>
    <row r="4" spans="1:3" x14ac:dyDescent="0.3">
      <c r="A4" s="1" t="s">
        <v>64</v>
      </c>
      <c r="B4" s="1" t="s">
        <v>65</v>
      </c>
      <c r="C4" s="1" t="s">
        <v>37</v>
      </c>
    </row>
    <row r="5" spans="1:3" x14ac:dyDescent="0.3">
      <c r="A5" s="1">
        <v>2000</v>
      </c>
      <c r="B5" s="1">
        <f>Table5[[#This Row],[MLSS(mg/L)]]/1000</f>
        <v>2</v>
      </c>
      <c r="C5" s="1">
        <f>ROUND((Input!$C$2*Input!$C$7*(Calculations!$C$4-Calculations!$C$5))/(B5*(1/Input!$C$9+Input!$C$10)),0)</f>
        <v>3625</v>
      </c>
    </row>
    <row r="6" spans="1:3" x14ac:dyDescent="0.3">
      <c r="A6" s="1">
        <v>2500</v>
      </c>
      <c r="B6" s="1">
        <f>Table5[[#This Row],[MLSS(mg/L)]]/1000</f>
        <v>2.5</v>
      </c>
      <c r="C6" s="1">
        <f>ROUND((Input!$C$2*Input!$C$7*(Calculations!$C$4-Calculations!$C$5))/(B6*(1/Input!$C$9+Input!$C$10)),0)</f>
        <v>2900</v>
      </c>
    </row>
    <row r="7" spans="1:3" x14ac:dyDescent="0.3">
      <c r="A7" s="1">
        <v>3000</v>
      </c>
      <c r="B7" s="1">
        <f>Table5[[#This Row],[MLSS(mg/L)]]/1000</f>
        <v>3</v>
      </c>
      <c r="C7" s="1">
        <f>ROUND((Input!$C$2*Input!$C$7*(Calculations!$C$4-Calculations!$C$5))/(B7*(1/Input!$C$9+Input!$C$10)),0)</f>
        <v>2417</v>
      </c>
    </row>
    <row r="8" spans="1:3" x14ac:dyDescent="0.3">
      <c r="A8" s="1">
        <v>3500</v>
      </c>
      <c r="B8" s="1">
        <f>Table5[[#This Row],[MLSS(mg/L)]]/1000</f>
        <v>3.5</v>
      </c>
      <c r="C8" s="1">
        <f>ROUND((Input!$C$2*Input!$C$7*(Calculations!$C$4-Calculations!$C$5))/(B8*(1/Input!$C$9+Input!$C$10)),0)</f>
        <v>2071</v>
      </c>
    </row>
    <row r="9" spans="1:3" x14ac:dyDescent="0.3">
      <c r="A9" s="1">
        <v>4000</v>
      </c>
      <c r="B9" s="1">
        <f>Table5[[#This Row],[MLSS(mg/L)]]/1000</f>
        <v>4</v>
      </c>
      <c r="C9" s="1">
        <f>ROUND((Input!$C$2*Input!$C$7*(Calculations!$C$4-Calculations!$C$5))/(B9*(1/Input!$C$9+Input!$C$10)),0)</f>
        <v>1813</v>
      </c>
    </row>
  </sheetData>
  <mergeCells count="1">
    <mergeCell ref="A2:C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Calculations</vt:lpstr>
      <vt:lpstr>Design Summary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Ambati</dc:creator>
  <cp:lastModifiedBy>Rajendra Ambati</cp:lastModifiedBy>
  <dcterms:created xsi:type="dcterms:W3CDTF">2026-09-21T15:46:49Z</dcterms:created>
  <dcterms:modified xsi:type="dcterms:W3CDTF">2026-09-21T18:00:47Z</dcterms:modified>
</cp:coreProperties>
</file>